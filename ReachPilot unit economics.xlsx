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></Relationship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Measured run and cost inputs" sheetId="1" r:id="rId1"/>
    <sheet name="Monthly operating case" sheetId="2" r:id="rId2"/>
    <sheet name="Pricing comparison" sheetId="3" r:id="rId3"/>
    <sheet name="Email uncertainty and cost boun" sheetId="4" r:id="rId4"/>
    <sheet name="Campaign LLM measurement" sheetId="5" r:id="rId5"/>
    <sheet name="Completed blended cost summary" sheetId="6" r:id="rId6"/>
    <sheet name="Completed pricing profitability" sheetId="7" r:id="rId7"/>
  </sheets>
  <calcPr calcMode="auto" fullCalcOnLoad="1" forceFullCalc="1"/>
</workbook>
</file>

<file path=xl/styles.xml><?xml version="1.0" encoding="utf-8"?>
<styleSheet xmlns="http://schemas.openxmlformats.org/spreadsheetml/2006/main">
  <numFmts count="5">
    <numFmt numFmtId="164" formatCode="#,##0.###;(#,##0.###)"/>
    <numFmt numFmtId="165" formatCode="0.0%"/>
    <numFmt numFmtId="166" formatCode="#,##0.00000;(#,##0.00000)"/>
    <numFmt numFmtId="167" formatCode="#,##0.000;(#,##0.000)"/>
    <numFmt numFmtId="168" formatCode="#,##0;(#,##0)"/>
  </numFmts>
  <fonts count="4">
    <font>
      <sz val="10"/>
      <color rgb="FF352F29"/>
      <name val="Aptos"/>
    </font>
    <font>
      <b/>
      <sz val="16"/>
      <color rgb="FFFFFFFF"/>
      <name val="Aptos"/>
    </font>
    <font>
      <sz val="9"/>
      <color rgb="FF817B73"/>
      <name val="Aptos"/>
    </font>
    <font>
      <b/>
      <sz val="10"/>
      <color rgb="FF352F29"/>
      <name val="Aptos"/>
    </font>
  </fonts>
  <fills count="5">
    <fill>
      <patternFill patternType="none"/>
    </fill>
    <fill>
      <patternFill patternType="gray125"/>
    </fill>
    <fill>
      <patternFill patternType="solid">
        <fgColor rgb="FF352F29"/>
        <bgColor indexed="64"/>
      </patternFill>
    </fill>
    <fill>
      <patternFill patternType="solid">
        <fgColor rgb="FFF0EDE8"/>
        <bgColor indexed="64"/>
      </patternFill>
    </fill>
    <fill>
      <patternFill patternType="solid">
        <fgColor rgb="FFF5F2EC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E7E3DD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ill="1" applyFont="1" applyAlignment="1">
      <alignment vertical="center" horizontal="left" indent="1"/>
    </xf>
    <xf numFmtId="0" fontId="2" fillId="0" borderId="0" xfId="0" applyFont="1"/>
    <xf numFmtId="0" fontId="3" fillId="3" borderId="1" xfId="0" applyFill="1" applyFont="1" applyBorder="1" applyAlignment="1">
      <alignment vertical="center" horizontal="left"/>
    </xf>
    <xf numFmtId="0" fontId="3" fillId="3" borderId="1" xfId="0" applyFill="1" applyFont="1" applyBorder="1" applyAlignment="1">
      <alignment vertical="center" horizontal="right"/>
    </xf>
    <xf numFmtId="0" fontId="3" fillId="4" borderId="1" xfId="0" applyFill="1" applyFont="1" applyBorder="1" applyAlignment="1">
      <alignment vertical="center" horizontal="left"/>
    </xf>
    <xf numFmtId="164" fontId="3" fillId="4" borderId="1" xfId="0" applyNumberFormat="1" applyFill="1" applyFont="1" applyBorder="1" applyAlignment="1">
      <alignment vertical="center" horizontal="right"/>
    </xf>
    <xf numFmtId="0" fontId="0" fillId="0" borderId="0" xfId="0" applyAlignment="1">
      <alignment vertical="center" horizontal="left"/>
    </xf>
    <xf numFmtId="164" fontId="0" fillId="0" borderId="0" xfId="0" applyNumberFormat="1" applyAlignment="1">
      <alignment vertical="center" horizontal="right"/>
    </xf>
    <xf numFmtId="165" fontId="0" fillId="0" borderId="0" xfId="0" applyNumberFormat="1" applyAlignment="1">
      <alignment vertical="center" horizontal="right"/>
    </xf>
    <xf numFmtId="166" fontId="0" fillId="0" borderId="0" xfId="0" applyNumberFormat="1" applyAlignment="1">
      <alignment vertical="center" horizontal="right"/>
    </xf>
    <xf numFmtId="167" fontId="3" fillId="4" borderId="1" xfId="0" applyNumberFormat="1" applyFill="1" applyFont="1" applyBorder="1" applyAlignment="1">
      <alignment vertical="center" horizontal="right"/>
    </xf>
    <xf numFmtId="168" fontId="3" fillId="4" borderId="1" xfId="0" applyNumberFormat="1" applyFill="1" applyFont="1" applyBorder="1" applyAlignment="1">
      <alignment vertical="center" horizontal="right"/>
    </xf>
    <xf numFmtId="167" fontId="0" fillId="0" borderId="0" xfId="0" applyNumberFormat="1" applyAlignment="1">
      <alignment vertical="center" horizontal="right"/>
    </xf>
    <xf numFmtId="168" fontId="0" fillId="0" borderId="0" xfId="0" applyNumberFormat="1" applyAlignment="1">
      <alignment vertical="center" horizontal="right"/>
    </xf>
    <xf numFmtId="165" fontId="3" fillId="4" borderId="1" xfId="0" applyNumberFormat="1" applyFill="1" applyFont="1" applyBorder="1" applyAlignment="1">
      <alignment vertical="center" horizontal="right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worksheet" Target="worksheets/sheet2.xml"></Relationship><Relationship Id="rId3" Type="http://schemas.openxmlformats.org/officeDocument/2006/relationships/worksheet" Target="worksheets/sheet3.xml"></Relationship><Relationship Id="rId4" Type="http://schemas.openxmlformats.org/officeDocument/2006/relationships/worksheet" Target="worksheets/sheet4.xml"></Relationship><Relationship Id="rId5" Type="http://schemas.openxmlformats.org/officeDocument/2006/relationships/worksheet" Target="worksheets/sheet5.xml"></Relationship><Relationship Id="rId6" Type="http://schemas.openxmlformats.org/officeDocument/2006/relationships/worksheet" Target="worksheets/sheet6.xml"></Relationship><Relationship Id="rId7" Type="http://schemas.openxmlformats.org/officeDocument/2006/relationships/worksheet" Target="worksheets/sheet7.xml"></Relationship><Relationship Id="rId8" Type="http://schemas.openxmlformats.org/officeDocument/2006/relationships/styles" Target="styles.xml"></Relationship></Relationships>
</file>

<file path=xl/worksheets/sheet1.xml><?xml version="1.0" encoding="utf-8"?>
<worksheet xmlns="http://schemas.openxmlformats.org/spreadsheetml/2006/main">
  <dimension ref="A1:B19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</cols>
  <sheetData>
    <row r="1" ht="32" customHeight="1">
      <c r="A1" t="inlineStr" s="1">
        <is>
          <t xml:space="preserve">Measured run and cost inputs</t>
        </is>
      </c>
    </row>
    <row r="2" ht="20" customHeight="1">
      <c r="A2" t="inlineStr" s="2">
        <is>
          <t xml:space="preserve">ReachPilot unit economics · Main Scenario</t>
        </is>
      </c>
    </row>
    <row r="4" ht="22" customHeight="1">
      <c r="A4" t="inlineStr" s="3">
        <is>
          <t xml:space="preserve">Variable / dimension</t>
        </is>
      </c>
      <c r="B4" t="inlineStr" s="4">
        <is>
          <t xml:space="preserve">Value</t>
        </is>
      </c>
    </row>
    <row r="5">
      <c r="A5" t="inlineStr" s="5">
        <is>
          <t xml:space="preserve">Run credits spent</t>
        </is>
      </c>
      <c r="B5" s="6">
        <f>53.06</f>
        <v>53.06</v>
      </c>
    </row>
    <row r="6">
      <c r="A6" t="inlineStr" s="7">
        <is>
          <t xml:space="preserve">Run qualified leads</t>
        </is>
      </c>
      <c r="B6" s="8">
        <f>10</f>
        <v>10</v>
      </c>
    </row>
    <row r="7">
      <c r="A7" t="inlineStr" s="7">
        <is>
          <t xml:space="preserve">Credits per qualified lead</t>
        </is>
      </c>
      <c r="B7" s="8">
        <f>'Measured run and cost inputs'!B5/'Measured run and cost inputs'!B6</f>
        <v>5.306</v>
      </c>
    </row>
    <row r="8">
      <c r="A8" t="inlineStr" s="7">
        <is>
          <t xml:space="preserve">v0 credits per qualified lead</t>
        </is>
      </c>
      <c r="B8" s="8">
        <f>14.6</f>
        <v>14.6</v>
      </c>
    </row>
    <row r="9">
      <c r="A9" t="inlineStr" s="7">
        <is>
          <t xml:space="preserve">Credit reduction</t>
        </is>
      </c>
      <c r="B9" s="8">
        <f>'Measured run and cost inputs'!B8-'Measured run and cost inputs'!B7</f>
        <v>9.294</v>
      </c>
    </row>
    <row r="10">
      <c r="A10" t="inlineStr" s="7">
        <is>
          <t xml:space="preserve">Credit reduction percent</t>
        </is>
      </c>
      <c r="B10" s="9">
        <f>'Measured run and cost inputs'!B9/'Measured run and cost inputs'!B8</f>
        <v>0.6365753424657534</v>
      </c>
    </row>
    <row r="11">
      <c r="A11" t="inlineStr" s="7">
        <is>
          <t xml:space="preserve">Run cache hit rate</t>
        </is>
      </c>
      <c r="B11" s="9">
        <f>0.246</f>
        <v>0.246</v>
      </c>
    </row>
    <row r="12">
      <c r="A12" t="inlineStr" s="7">
        <is>
          <t xml:space="preserve">Low credit price</t>
        </is>
      </c>
      <c r="B12" s="8">
        <f>0.05</f>
        <v>0.05</v>
      </c>
    </row>
    <row r="13">
      <c r="A13" t="inlineStr" s="7">
        <is>
          <t xml:space="preserve">High credit price</t>
        </is>
      </c>
      <c r="B13" s="8">
        <f>0.06</f>
        <v>0.06</v>
      </c>
    </row>
    <row r="14">
      <c r="A14" t="inlineStr" s="7">
        <is>
          <t xml:space="preserve">Data cost per lead low</t>
        </is>
      </c>
      <c r="B14" s="8">
        <f>'Measured run and cost inputs'!B7*'Measured run and cost inputs'!B12</f>
        <v>0.26530000000000004</v>
      </c>
    </row>
    <row r="15">
      <c r="A15" t="inlineStr" s="7">
        <is>
          <t xml:space="preserve">Data cost per lead high</t>
        </is>
      </c>
      <c r="B15" s="8">
        <f>'Measured run and cost inputs'!B7*'Measured run and cost inputs'!B13</f>
        <v>0.31836</v>
      </c>
    </row>
    <row r="16">
      <c r="A16" t="inlineStr" s="7">
        <is>
          <t xml:space="preserve">Hosting monthly</t>
        </is>
      </c>
      <c r="B16" s="8">
        <f>20</f>
        <v>20</v>
      </c>
    </row>
    <row r="17">
      <c r="A17" t="inlineStr" s="7">
        <is>
          <t xml:space="preserve">Email monthly</t>
        </is>
      </c>
      <c r="B17" s="8">
        <f>20</f>
        <v>20</v>
      </c>
    </row>
    <row r="18">
      <c r="A18" t="inlineStr" s="7">
        <is>
          <t xml:space="preserve">LLM cost per lead</t>
        </is>
      </c>
      <c r="B18" s="10">
        <f>'Campaign LLM measurement'!B5/'Measured run and cost inputs'!B6</f>
        <v>0.0102092</v>
      </c>
    </row>
    <row r="19">
      <c r="A19" t="inlineStr" s="5">
        <is>
          <t xml:space="preserve">Fixed monthly overhead</t>
        </is>
      </c>
      <c r="B19" s="6">
        <f>'Measured run and cost inputs'!B16+'Measured run and cost inputs'!B17</f>
        <v>40</v>
      </c>
    </row>
  </sheetData>
  <mergeCells count="1">
    <mergeCell ref="A1:B1"/>
  </mergeCells>
</worksheet>
</file>

<file path=xl/worksheets/sheet2.xml><?xml version="1.0" encoding="utf-8"?>
<worksheet xmlns="http://schemas.openxmlformats.org/spreadsheetml/2006/main">
  <dimension ref="A1:B15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</cols>
  <sheetData>
    <row r="1" ht="32" customHeight="1">
      <c r="A1" t="inlineStr" s="1">
        <is>
          <t xml:space="preserve">Monthly operating case</t>
        </is>
      </c>
    </row>
    <row r="2" ht="20" customHeight="1">
      <c r="A2" t="inlineStr" s="2">
        <is>
          <t xml:space="preserve">ReachPilot unit economics · Main Scenario</t>
        </is>
      </c>
    </row>
    <row r="4" ht="22" customHeight="1">
      <c r="A4" t="inlineStr" s="3">
        <is>
          <t xml:space="preserve">Variable / dimension</t>
        </is>
      </c>
      <c r="B4" t="inlineStr" s="4">
        <is>
          <t xml:space="preserve">Value</t>
        </is>
      </c>
    </row>
    <row r="5">
      <c r="A5" t="inlineStr" s="5">
        <is>
          <t xml:space="preserve">Active customers</t>
        </is>
      </c>
      <c r="B5" s="6">
        <f>40</f>
        <v>40</v>
      </c>
    </row>
    <row r="6">
      <c r="A6" t="inlineStr" s="7">
        <is>
          <t xml:space="preserve">Leads per customer</t>
        </is>
      </c>
      <c r="B6" s="8">
        <f>100</f>
        <v>100</v>
      </c>
    </row>
    <row r="7">
      <c r="A7" t="inlineStr" s="7">
        <is>
          <t xml:space="preserve">Monthly customer churn</t>
        </is>
      </c>
      <c r="B7" s="9">
        <f>0.05</f>
        <v>0.05</v>
      </c>
    </row>
    <row r="8">
      <c r="A8" t="inlineStr" s="7">
        <is>
          <t xml:space="preserve">Qualified leads monthly</t>
        </is>
      </c>
      <c r="B8" s="8">
        <f>'Monthly operating case'!B5*'Monthly operating case'!B6</f>
        <v>4000</v>
      </c>
    </row>
    <row r="9">
      <c r="A9" t="inlineStr" s="7">
        <is>
          <t xml:space="preserve">Credits required monthly</t>
        </is>
      </c>
      <c r="B9" s="8">
        <f>'Monthly operating case'!B8*'Measured run and cost inputs'!B7</f>
        <v>21224</v>
      </c>
    </row>
    <row r="10">
      <c r="A10" t="inlineStr" s="7">
        <is>
          <t xml:space="preserve">Replacement customers monthly</t>
        </is>
      </c>
      <c r="B10" s="8">
        <f>'Monthly operating case'!B5*'Monthly operating case'!B7</f>
        <v>2</v>
      </c>
    </row>
    <row r="11">
      <c r="A11" t="inlineStr" s="7">
        <is>
          <t xml:space="preserve">Cost floor per lead low</t>
        </is>
      </c>
      <c r="B11" s="8">
        <f>'Measured run and cost inputs'!B14+'Measured run and cost inputs'!B19/'Monthly operating case'!B8</f>
        <v>0.27530000000000004</v>
      </c>
    </row>
    <row r="12">
      <c r="A12" t="inlineStr" s="7">
        <is>
          <t xml:space="preserve">Cost floor per lead high</t>
        </is>
      </c>
      <c r="B12" s="8">
        <f>'Measured run and cost inputs'!B15+'Measured run and cost inputs'!B19/'Monthly operating case'!B8</f>
        <v>0.32836</v>
      </c>
    </row>
    <row r="13">
      <c r="A13" t="inlineStr" s="7">
        <is>
          <t xml:space="preserve">Blended cost per lead low</t>
        </is>
      </c>
      <c r="B13" s="8">
        <f>IF('Measured run and cost inputs'!B18="","",'Monthly operating case'!B11+'Measured run and cost inputs'!B18)</f>
        <v>0.2855092</v>
      </c>
    </row>
    <row r="14">
      <c r="A14" t="inlineStr" s="7">
        <is>
          <t xml:space="preserve">Blended cost per lead high</t>
        </is>
      </c>
      <c r="B14" s="8">
        <f>IF('Measured run and cost inputs'!B18="","",'Monthly operating case'!B12+'Measured run and cost inputs'!B18)</f>
        <v>0.33856919999999996</v>
      </c>
    </row>
    <row r="15">
      <c r="A15" t="inlineStr" s="5">
        <is>
          <t xml:space="preserve">Bedrock monthly inference</t>
        </is>
      </c>
      <c r="B15" s="6">
        <f>IF('Measured run and cost inputs'!B18="","",'Monthly operating case'!B8*'Measured run and cost inputs'!B18)</f>
        <v>40.8368</v>
      </c>
    </row>
  </sheetData>
  <mergeCells count="1">
    <mergeCell ref="A1:B1"/>
  </mergeCells>
</worksheet>
</file>

<file path=xl/worksheets/sheet3.xml><?xml version="1.0" encoding="utf-8"?>
<worksheet xmlns="http://schemas.openxmlformats.org/spreadsheetml/2006/main">
  <dimension ref="A1:L7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  <col min="3" max="3" width="19" customWidth="1"/>
    <col min="4" max="4" width="19" customWidth="1"/>
    <col min="5" max="5" width="19" customWidth="1"/>
    <col min="6" max="6" width="19" customWidth="1"/>
    <col min="7" max="7" width="19" customWidth="1"/>
    <col min="8" max="8" width="19" customWidth="1"/>
    <col min="9" max="9" width="19" customWidth="1"/>
    <col min="10" max="10" width="19" customWidth="1"/>
    <col min="11" max="11" width="19" customWidth="1"/>
    <col min="12" max="12" width="19" customWidth="1"/>
  </cols>
  <sheetData>
    <row r="1" ht="32" customHeight="1">
      <c r="A1" t="inlineStr" s="1">
        <is>
          <t xml:space="preserve">Pricing comparison</t>
        </is>
      </c>
    </row>
    <row r="2" ht="20" customHeight="1">
      <c r="A2" t="inlineStr" s="2">
        <is>
          <t xml:space="preserve">ReachPilot unit economics · Main Scenario</t>
        </is>
      </c>
    </row>
    <row r="4" ht="22" customHeight="1">
      <c r="A4" t="inlineStr" s="3">
        <is>
          <t xml:space="preserve">Variable / dimension</t>
        </is>
      </c>
      <c r="B4" t="inlineStr" s="4">
        <is>
          <t xml:space="preserve">Subscription fee</t>
        </is>
      </c>
      <c r="C4" t="inlineStr" s="4">
        <is>
          <t xml:space="preserve">Price per delivered lead</t>
        </is>
      </c>
      <c r="D4" t="inlineStr" s="4">
        <is>
          <t xml:space="preserve">Revenue per customer</t>
        </is>
      </c>
      <c r="E4" t="inlineStr" s="4">
        <is>
          <t xml:space="preserve">Revenue per qualified lead</t>
        </is>
      </c>
      <c r="F4" t="inlineStr" s="4">
        <is>
          <t xml:space="preserve">Monthly plan revenue</t>
        </is>
      </c>
      <c r="G4" t="inlineStr" s="4">
        <is>
          <t xml:space="preserve">Surplus before LLM low</t>
        </is>
      </c>
      <c r="H4" t="inlineStr" s="4">
        <is>
          <t xml:space="preserve">Surplus before LLM high</t>
        </is>
      </c>
      <c r="I4" t="inlineStr" s="4">
        <is>
          <t xml:space="preserve">Break-even customer floor low</t>
        </is>
      </c>
      <c r="J4" t="inlineStr" s="4">
        <is>
          <t xml:space="preserve">Break-even customer floor high</t>
        </is>
      </c>
      <c r="K4" t="inlineStr" s="4">
        <is>
          <t xml:space="preserve">Full break-even customers high</t>
        </is>
      </c>
      <c r="L4" t="inlineStr" s="4">
        <is>
          <t xml:space="preserve">LLM allowance per lead before loss</t>
        </is>
      </c>
    </row>
    <row r="5">
      <c r="A5" t="inlineStr" s="5">
        <is>
          <t xml:space="preserve">$0.80 per lead</t>
        </is>
      </c>
      <c r="B5" s="11">
        <f>0</f>
        <v>0</v>
      </c>
      <c r="C5" s="11">
        <f>0.8</f>
        <v>0.8</v>
      </c>
      <c r="D5" s="11">
        <f>'Pricing comparison'!B5+'Pricing comparison'!C5*'Monthly operating case'!B6</f>
        <v>80</v>
      </c>
      <c r="E5" s="11">
        <f>'Pricing comparison'!D5/'Monthly operating case'!B6</f>
        <v>0.8</v>
      </c>
      <c r="F5" s="11">
        <f>'Pricing comparison'!D5*'Monthly operating case'!B5</f>
        <v>3200</v>
      </c>
      <c r="G5" s="11">
        <f>'Pricing comparison'!F5-'Monthly operating case'!B8*'Measured run and cost inputs'!B14-'Measured run and cost inputs'!B19</f>
        <v>2098.8</v>
      </c>
      <c r="H5" s="11">
        <f>'Pricing comparison'!F5-'Monthly operating case'!B8*'Measured run and cost inputs'!B15-'Measured run and cost inputs'!B19</f>
        <v>1886.5600000000002</v>
      </c>
      <c r="I5" s="12">
        <f>IF(IF(IF(ISERROR('Pricing comparison'!D5&gt;'Monthly operating case'!B6*'Measured run and cost inputs'!B14),'Pricing comparison'!D5&gt;'Monthly operating case'!B6*'Measured run and cost inputs'!B14,IF('Pricing comparison'!D5="","",'Pricing comparison'!D5&gt;'Monthly operating case'!B6*'Measured run and cost inputs'!B14))="",FALSE,IF(ISERROR('Pricing comparison'!D5&gt;'Monthly operating case'!B6*'Measured run and cost inputs'!B14),'Pricing comparison'!D5&gt;'Monthly operating case'!B6*'Measured run and cost inputs'!B14,IF('Pricing comparison'!D5="","",'Pricing comparison'!D5&gt;'Monthly operating case'!B6*'Measured run and cost inputs'!B14))),CEILING('Measured run and cost inputs'!B19/('Pricing comparison'!D5-'Monthly operating case'!B6*'Measured run and cost inputs'!B14),1),"")</f>
        <v>1</v>
      </c>
      <c r="J5" s="12">
        <f>IF(IF(IF(ISERROR('Pricing comparison'!D5&gt;'Monthly operating case'!B6*'Measured run and cost inputs'!B15),'Pricing comparison'!D5&gt;'Monthly operating case'!B6*'Measured run and cost inputs'!B15,IF('Pricing comparison'!D5="","",'Pricing comparison'!D5&gt;'Monthly operating case'!B6*'Measured run and cost inputs'!B15))="",FALSE,IF(ISERROR('Pricing comparison'!D5&gt;'Monthly operating case'!B6*'Measured run and cost inputs'!B15),'Pricing comparison'!D5&gt;'Monthly operating case'!B6*'Measured run and cost inputs'!B15,IF('Pricing comparison'!D5="","",'Pricing comparison'!D5&gt;'Monthly operating case'!B6*'Measured run and cost inputs'!B15))),CEILING('Measured run and cost inputs'!B19/('Pricing comparison'!D5-'Monthly operating case'!B6*'Measured run and cost inputs'!B15),1),"")</f>
        <v>1</v>
      </c>
      <c r="K5" s="12">
        <f>IF('Measured run and cost inputs'!B18="","",IF(IF(IF(ISERROR('Pricing comparison'!D5&gt;'Monthly operating case'!B6*('Measured run and cost inputs'!B15+'Measured run and cost inputs'!B18)),'Pricing comparison'!D5&gt;'Monthly operating case'!B6*('Measured run and cost inputs'!B15+'Measured run and cost inputs'!B18),IF('Pricing comparison'!D5="","",'Pricing comparison'!D5&gt;'Monthly operating case'!B6*('Measured run and cost inputs'!B15+'Measured run and cost inputs'!B18)))="",FALSE,IF(ISERROR('Pricing comparison'!D5&gt;'Monthly operating case'!B6*('Measured run and cost inputs'!B15+'Measured run and cost inputs'!B18)),'Pricing comparison'!D5&gt;'Monthly operating case'!B6*('Measured run and cost inputs'!B15+'Measured run and cost inputs'!B18),IF('Pricing comparison'!D5="","",'Pricing comparison'!D5&gt;'Monthly operating case'!B6*('Measured run and cost inputs'!B15+'Measured run and cost inputs'!B18)))),CEILING('Measured run and cost inputs'!B19/('Pricing comparison'!D5-'Monthly operating case'!B6*('Measured run and cost inputs'!B15+'Measured run and cost inputs'!B18)),1),""))</f>
        <v>1</v>
      </c>
      <c r="L5" s="11">
        <f>'Pricing comparison'!E5-'Monthly operating case'!B12</f>
        <v>0.47164000000000006</v>
      </c>
    </row>
    <row r="6">
      <c r="A6" t="inlineStr" s="7">
        <is>
          <t xml:space="preserve">$49 subscription</t>
        </is>
      </c>
      <c r="B6" s="13">
        <f>49</f>
        <v>49</v>
      </c>
      <c r="C6" s="13">
        <f>0</f>
        <v>0</v>
      </c>
      <c r="D6" s="13">
        <f>'Pricing comparison'!B6+'Pricing comparison'!C6*'Monthly operating case'!B6</f>
        <v>49</v>
      </c>
      <c r="E6" s="13">
        <f>'Pricing comparison'!D6/'Monthly operating case'!B6</f>
        <v>0.49</v>
      </c>
      <c r="F6" s="13">
        <f>'Pricing comparison'!D6*'Monthly operating case'!B5</f>
        <v>1960</v>
      </c>
      <c r="G6" s="13">
        <f>'Pricing comparison'!F6-'Monthly operating case'!B8*'Measured run and cost inputs'!B14-'Measured run and cost inputs'!B19</f>
        <v>858.8</v>
      </c>
      <c r="H6" s="13">
        <f>'Pricing comparison'!F6-'Monthly operating case'!B8*'Measured run and cost inputs'!B15-'Measured run and cost inputs'!B19</f>
        <v>646.5600000000002</v>
      </c>
      <c r="I6" s="14">
        <f>IF(IF(IF(ISERROR('Pricing comparison'!D6&gt;'Monthly operating case'!B6*'Measured run and cost inputs'!B14),'Pricing comparison'!D6&gt;'Monthly operating case'!B6*'Measured run and cost inputs'!B14,IF('Pricing comparison'!D6="","",'Pricing comparison'!D6&gt;'Monthly operating case'!B6*'Measured run and cost inputs'!B14))="",FALSE,IF(ISERROR('Pricing comparison'!D6&gt;'Monthly operating case'!B6*'Measured run and cost inputs'!B14),'Pricing comparison'!D6&gt;'Monthly operating case'!B6*'Measured run and cost inputs'!B14,IF('Pricing comparison'!D6="","",'Pricing comparison'!D6&gt;'Monthly operating case'!B6*'Measured run and cost inputs'!B14))),CEILING('Measured run and cost inputs'!B19/('Pricing comparison'!D6-'Monthly operating case'!B6*'Measured run and cost inputs'!B14),1),"")</f>
        <v>2</v>
      </c>
      <c r="J6" s="14">
        <f>IF(IF(IF(ISERROR('Pricing comparison'!D6&gt;'Monthly operating case'!B6*'Measured run and cost inputs'!B15),'Pricing comparison'!D6&gt;'Monthly operating case'!B6*'Measured run and cost inputs'!B15,IF('Pricing comparison'!D6="","",'Pricing comparison'!D6&gt;'Monthly operating case'!B6*'Measured run and cost inputs'!B15))="",FALSE,IF(ISERROR('Pricing comparison'!D6&gt;'Monthly operating case'!B6*'Measured run and cost inputs'!B15),'Pricing comparison'!D6&gt;'Monthly operating case'!B6*'Measured run and cost inputs'!B15,IF('Pricing comparison'!D6="","",'Pricing comparison'!D6&gt;'Monthly operating case'!B6*'Measured run and cost inputs'!B15))),CEILING('Measured run and cost inputs'!B19/('Pricing comparison'!D6-'Monthly operating case'!B6*'Measured run and cost inputs'!B15),1),"")</f>
        <v>3</v>
      </c>
      <c r="K6" s="14">
        <f>IF('Measured run and cost inputs'!B18="","",IF(IF(IF(ISERROR('Pricing comparison'!D6&gt;'Monthly operating case'!B6*('Measured run and cost inputs'!B15+'Measured run and cost inputs'!B18)),'Pricing comparison'!D6&gt;'Monthly operating case'!B6*('Measured run and cost inputs'!B15+'Measured run and cost inputs'!B18),IF('Pricing comparison'!D6="","",'Pricing comparison'!D6&gt;'Monthly operating case'!B6*('Measured run and cost inputs'!B15+'Measured run and cost inputs'!B18)))="",FALSE,IF(ISERROR('Pricing comparison'!D6&gt;'Monthly operating case'!B6*('Measured run and cost inputs'!B15+'Measured run and cost inputs'!B18)),'Pricing comparison'!D6&gt;'Monthly operating case'!B6*('Measured run and cost inputs'!B15+'Measured run and cost inputs'!B18),IF('Pricing comparison'!D6="","",'Pricing comparison'!D6&gt;'Monthly operating case'!B6*('Measured run and cost inputs'!B15+'Measured run and cost inputs'!B18)))),CEILING('Measured run and cost inputs'!B19/('Pricing comparison'!D6-'Monthly operating case'!B6*('Measured run and cost inputs'!B15+'Measured run and cost inputs'!B18)),1),""))</f>
        <v>3</v>
      </c>
      <c r="L6" s="13">
        <f>'Pricing comparison'!E6-'Monthly operating case'!B12</f>
        <v>0.16164</v>
      </c>
    </row>
    <row r="7">
      <c r="A7" t="inlineStr" s="5">
        <is>
          <t xml:space="preserve">$99 subscription</t>
        </is>
      </c>
      <c r="B7" s="11">
        <f>99</f>
        <v>99</v>
      </c>
      <c r="C7" s="11">
        <f>0</f>
        <v>0</v>
      </c>
      <c r="D7" s="11">
        <f>'Pricing comparison'!B7+'Pricing comparison'!C7*'Monthly operating case'!B6</f>
        <v>99</v>
      </c>
      <c r="E7" s="11">
        <f>'Pricing comparison'!D7/'Monthly operating case'!B6</f>
        <v>0.99</v>
      </c>
      <c r="F7" s="11">
        <f>'Pricing comparison'!D7*'Monthly operating case'!B5</f>
        <v>3960</v>
      </c>
      <c r="G7" s="11">
        <f>'Pricing comparison'!F7-'Monthly operating case'!B8*'Measured run and cost inputs'!B14-'Measured run and cost inputs'!B19</f>
        <v>2858.8</v>
      </c>
      <c r="H7" s="11">
        <f>'Pricing comparison'!F7-'Monthly operating case'!B8*'Measured run and cost inputs'!B15-'Measured run and cost inputs'!B19</f>
        <v>2646.5600000000004</v>
      </c>
      <c r="I7" s="12">
        <f>IF(IF(IF(ISERROR('Pricing comparison'!D7&gt;'Monthly operating case'!B6*'Measured run and cost inputs'!B14),'Pricing comparison'!D7&gt;'Monthly operating case'!B6*'Measured run and cost inputs'!B14,IF('Pricing comparison'!D7="","",'Pricing comparison'!D7&gt;'Monthly operating case'!B6*'Measured run and cost inputs'!B14))="",FALSE,IF(ISERROR('Pricing comparison'!D7&gt;'Monthly operating case'!B6*'Measured run and cost inputs'!B14),'Pricing comparison'!D7&gt;'Monthly operating case'!B6*'Measured run and cost inputs'!B14,IF('Pricing comparison'!D7="","",'Pricing comparison'!D7&gt;'Monthly operating case'!B6*'Measured run and cost inputs'!B14))),CEILING('Measured run and cost inputs'!B19/('Pricing comparison'!D7-'Monthly operating case'!B6*'Measured run and cost inputs'!B14),1),"")</f>
        <v>1</v>
      </c>
      <c r="J7" s="12">
        <f>IF(IF(IF(ISERROR('Pricing comparison'!D7&gt;'Monthly operating case'!B6*'Measured run and cost inputs'!B15),'Pricing comparison'!D7&gt;'Monthly operating case'!B6*'Measured run and cost inputs'!B15,IF('Pricing comparison'!D7="","",'Pricing comparison'!D7&gt;'Monthly operating case'!B6*'Measured run and cost inputs'!B15))="",FALSE,IF(ISERROR('Pricing comparison'!D7&gt;'Monthly operating case'!B6*'Measured run and cost inputs'!B15),'Pricing comparison'!D7&gt;'Monthly operating case'!B6*'Measured run and cost inputs'!B15,IF('Pricing comparison'!D7="","",'Pricing comparison'!D7&gt;'Monthly operating case'!B6*'Measured run and cost inputs'!B15))),CEILING('Measured run and cost inputs'!B19/('Pricing comparison'!D7-'Monthly operating case'!B6*'Measured run and cost inputs'!B15),1),"")</f>
        <v>1</v>
      </c>
      <c r="K7" s="12">
        <f>IF('Measured run and cost inputs'!B18="","",IF(IF(IF(ISERROR('Pricing comparison'!D7&gt;'Monthly operating case'!B6*('Measured run and cost inputs'!B15+'Measured run and cost inputs'!B18)),'Pricing comparison'!D7&gt;'Monthly operating case'!B6*('Measured run and cost inputs'!B15+'Measured run and cost inputs'!B18),IF('Pricing comparison'!D7="","",'Pricing comparison'!D7&gt;'Monthly operating case'!B6*('Measured run and cost inputs'!B15+'Measured run and cost inputs'!B18)))="",FALSE,IF(ISERROR('Pricing comparison'!D7&gt;'Monthly operating case'!B6*('Measured run and cost inputs'!B15+'Measured run and cost inputs'!B18)),'Pricing comparison'!D7&gt;'Monthly operating case'!B6*('Measured run and cost inputs'!B15+'Measured run and cost inputs'!B18),IF('Pricing comparison'!D7="","",'Pricing comparison'!D7&gt;'Monthly operating case'!B6*('Measured run and cost inputs'!B15+'Measured run and cost inputs'!B18)))),CEILING('Measured run and cost inputs'!B19/('Pricing comparison'!D7-'Monthly operating case'!B6*('Measured run and cost inputs'!B15+'Measured run and cost inputs'!B18)),1),""))</f>
        <v>1</v>
      </c>
      <c r="L7" s="11">
        <f>'Pricing comparison'!E7-'Monthly operating case'!B12</f>
        <v>0.66164</v>
      </c>
    </row>
  </sheetData>
  <mergeCells count="1">
    <mergeCell ref="A1:L1"/>
  </mergeCells>
</worksheet>
</file>

<file path=xl/worksheets/sheet4.xml><?xml version="1.0" encoding="utf-8"?>
<worksheet xmlns="http://schemas.openxmlformats.org/spreadsheetml/2006/main">
  <dimension ref="A1:B8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</cols>
  <sheetData>
    <row r="1" ht="32" customHeight="1">
      <c r="A1" t="inlineStr" s="1">
        <is>
          <t xml:space="preserve">Email uncertainty and cost bounds</t>
        </is>
      </c>
    </row>
    <row r="2" ht="20" customHeight="1">
      <c r="A2" t="inlineStr" s="2">
        <is>
          <t xml:space="preserve">ReachPilot unit economics · Main Scenario</t>
        </is>
      </c>
    </row>
    <row r="4" ht="22" customHeight="1">
      <c r="A4" t="inlineStr" s="3">
        <is>
          <t xml:space="preserve">Variable / dimension</t>
        </is>
      </c>
      <c r="B4" t="inlineStr" s="4">
        <is>
          <t xml:space="preserve">Value</t>
        </is>
      </c>
    </row>
    <row r="5">
      <c r="A5" t="inlineStr" s="5">
        <is>
          <t xml:space="preserve">Email lower bound monthly</t>
        </is>
      </c>
      <c r="B5" s="6">
        <f>10</f>
        <v>10</v>
      </c>
    </row>
    <row r="6">
      <c r="A6" t="inlineStr" s="7">
        <is>
          <t xml:space="preserve">Email upper bound monthly</t>
        </is>
      </c>
      <c r="B6" s="8">
        <f>30</f>
        <v>30</v>
      </c>
    </row>
    <row r="7">
      <c r="A7" t="inlineStr" s="7">
        <is>
          <t xml:space="preserve">Minimum cost floor per lead</t>
        </is>
      </c>
      <c r="B7" s="8">
        <f>'Measured run and cost inputs'!B14+('Measured run and cost inputs'!B16+'Email uncertainty and cost boun'!B5)/'Monthly operating case'!B8</f>
        <v>0.27280000000000004</v>
      </c>
    </row>
    <row r="8">
      <c r="A8" t="inlineStr" s="5">
        <is>
          <t xml:space="preserve">Maximum cost floor per lead</t>
        </is>
      </c>
      <c r="B8" s="6">
        <f>'Measured run and cost inputs'!B15+('Measured run and cost inputs'!B16+'Email uncertainty and cost boun'!B6)/'Monthly operating case'!B8</f>
        <v>0.33086</v>
      </c>
    </row>
  </sheetData>
  <mergeCells count="1">
    <mergeCell ref="A1:B1"/>
  </mergeCells>
</worksheet>
</file>

<file path=xl/worksheets/sheet5.xml><?xml version="1.0" encoding="utf-8"?>
<worksheet xmlns="http://schemas.openxmlformats.org/spreadsheetml/2006/main">
  <dimension ref="A1:B14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</cols>
  <sheetData>
    <row r="1" ht="32" customHeight="1">
      <c r="A1" t="inlineStr" s="1">
        <is>
          <t xml:space="preserve">Campaign LLM measurement</t>
        </is>
      </c>
    </row>
    <row r="2" ht="20" customHeight="1">
      <c r="A2" t="inlineStr" s="2">
        <is>
          <t xml:space="preserve">ReachPilot unit economics · Main Scenario</t>
        </is>
      </c>
    </row>
    <row r="4" ht="22" customHeight="1">
      <c r="A4" t="inlineStr" s="3">
        <is>
          <t xml:space="preserve">Variable / dimension</t>
        </is>
      </c>
      <c r="B4" t="inlineStr" s="4">
        <is>
          <t xml:space="preserve">Value</t>
        </is>
      </c>
    </row>
    <row r="5">
      <c r="A5" t="inlineStr" s="5">
        <is>
          <t xml:space="preserve">Campaign LLM spend</t>
        </is>
      </c>
      <c r="B5" s="6">
        <f>0.102092</f>
        <v>0.102092</v>
      </c>
    </row>
    <row r="6">
      <c r="A6" t="inlineStr" s="7">
        <is>
          <t xml:space="preserve">Strict parent trace spend</t>
        </is>
      </c>
      <c r="B6" s="8">
        <f>0.035692</f>
        <v>0.035692</v>
      </c>
    </row>
    <row r="7">
      <c r="A7" t="inlineStr" s="7">
        <is>
          <t xml:space="preserve">Campaign input tokens</t>
        </is>
      </c>
      <c r="B7" s="8">
        <f>48455</f>
        <v>48455</v>
      </c>
    </row>
    <row r="8">
      <c r="A8" t="inlineStr" s="7">
        <is>
          <t xml:space="preserve">Campaign output tokens</t>
        </is>
      </c>
      <c r="B8" s="8">
        <f>8332</f>
        <v>8332</v>
      </c>
    </row>
    <row r="9">
      <c r="A9" t="inlineStr" s="7">
        <is>
          <t xml:space="preserve">Campaign total tokens</t>
        </is>
      </c>
      <c r="B9" s="8">
        <f>'Campaign LLM measurement'!B7+'Campaign LLM measurement'!B8</f>
        <v>56787</v>
      </c>
    </row>
    <row r="10">
      <c r="A10" t="inlineStr" s="7">
        <is>
          <t xml:space="preserve">Campaign traces</t>
        </is>
      </c>
      <c r="B10" s="8">
        <f>46</f>
        <v>46</v>
      </c>
    </row>
    <row r="11">
      <c r="A11" t="inlineStr" s="7">
        <is>
          <t xml:space="preserve">Campaign LLM calls</t>
        </is>
      </c>
      <c r="B11" s="8">
        <f>55</f>
        <v>55</v>
      </c>
    </row>
    <row r="12">
      <c r="A12" t="inlineStr" s="7">
        <is>
          <t xml:space="preserve">LLM tokens per qualified lead</t>
        </is>
      </c>
      <c r="B12" s="8">
        <f>'Campaign LLM measurement'!B9/'Measured run and cost inputs'!B6</f>
        <v>5678.7</v>
      </c>
    </row>
    <row r="13">
      <c r="A13" t="inlineStr" s="7">
        <is>
          <t xml:space="preserve">LLM spend omitted by parent match</t>
        </is>
      </c>
      <c r="B13" s="8">
        <f>'Campaign LLM measurement'!B5-'Campaign LLM measurement'!B6</f>
        <v>0.0664</v>
      </c>
    </row>
    <row r="14">
      <c r="A14" t="inlineStr" s="5">
        <is>
          <t xml:space="preserve">Parent match cost understatement</t>
        </is>
      </c>
      <c r="B14" s="15">
        <f>'Campaign LLM measurement'!B13/'Campaign LLM measurement'!B5</f>
        <v>0.6503937624887356</v>
      </c>
    </row>
  </sheetData>
  <mergeCells count="1">
    <mergeCell ref="A1:B1"/>
  </mergeCells>
</worksheet>
</file>

<file path=xl/worksheets/sheet6.xml><?xml version="1.0" encoding="utf-8"?>
<worksheet xmlns="http://schemas.openxmlformats.org/spreadsheetml/2006/main">
  <dimension ref="A1:B11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</cols>
  <sheetData>
    <row r="1" ht="32" customHeight="1">
      <c r="A1" t="inlineStr" s="1">
        <is>
          <t xml:space="preserve">Completed blended cost summary</t>
        </is>
      </c>
    </row>
    <row r="2" ht="20" customHeight="1">
      <c r="A2" t="inlineStr" s="2">
        <is>
          <t xml:space="preserve">ReachPilot unit economics · Main Scenario</t>
        </is>
      </c>
    </row>
    <row r="4" ht="22" customHeight="1">
      <c r="A4" t="inlineStr" s="3">
        <is>
          <t xml:space="preserve">Variable / dimension</t>
        </is>
      </c>
      <c r="B4" t="inlineStr" s="4">
        <is>
          <t xml:space="preserve">Value</t>
        </is>
      </c>
    </row>
    <row r="5">
      <c r="A5" t="inlineStr" s="5">
        <is>
          <t xml:space="preserve">Direct cost per lead low</t>
        </is>
      </c>
      <c r="B5" s="6">
        <f>'Measured run and cost inputs'!B14+'Measured run and cost inputs'!B18</f>
        <v>0.2755092</v>
      </c>
    </row>
    <row r="6">
      <c r="A6" t="inlineStr" s="7">
        <is>
          <t xml:space="preserve">Direct cost per lead high</t>
        </is>
      </c>
      <c r="B6" s="8">
        <f>'Measured run and cost inputs'!B15+'Measured run and cost inputs'!B18</f>
        <v>0.32856919999999995</v>
      </c>
    </row>
    <row r="7">
      <c r="A7" t="inlineStr" s="7">
        <is>
          <t xml:space="preserve">Blended cost lower bound</t>
        </is>
      </c>
      <c r="B7" s="8">
        <f>'Email uncertainty and cost boun'!B7+'Measured run and cost inputs'!B18</f>
        <v>0.2830092</v>
      </c>
    </row>
    <row r="8">
      <c r="A8" t="inlineStr" s="7">
        <is>
          <t xml:space="preserve">Blended cost upper bound</t>
        </is>
      </c>
      <c r="B8" s="8">
        <f>'Email uncertainty and cost boun'!B8+'Measured run and cost inputs'!B18</f>
        <v>0.34106919999999996</v>
      </c>
    </row>
    <row r="9">
      <c r="A9" t="inlineStr" s="7">
        <is>
          <t xml:space="preserve">Projected Bedrock tokens monthly</t>
        </is>
      </c>
      <c r="B9" s="8">
        <f>'Campaign LLM measurement'!B12*'Monthly operating case'!B8</f>
        <v>22714800</v>
      </c>
    </row>
    <row r="10">
      <c r="A10" t="inlineStr" s="7">
        <is>
          <t xml:space="preserve">Monthly service cost low</t>
        </is>
      </c>
      <c r="B10" s="8">
        <f>'Monthly operating case'!B8*'Completed blended cost summary'!B5+'Measured run and cost inputs'!B19</f>
        <v>1142.0368</v>
      </c>
    </row>
    <row r="11">
      <c r="A11" t="inlineStr" s="5">
        <is>
          <t xml:space="preserve">Monthly service cost high</t>
        </is>
      </c>
      <c r="B11" s="6">
        <f>'Monthly operating case'!B8*'Completed blended cost summary'!B6+'Measured run and cost inputs'!B19</f>
        <v>1354.2767999999999</v>
      </c>
    </row>
  </sheetData>
  <mergeCells count="1">
    <mergeCell ref="A1:B1"/>
  </mergeCells>
</worksheet>
</file>

<file path=xl/worksheets/sheet7.xml><?xml version="1.0" encoding="utf-8"?>
<worksheet xmlns="http://schemas.openxmlformats.org/spreadsheetml/2006/main">
  <dimension ref="A1:J7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  <col min="3" max="3" width="19" customWidth="1"/>
    <col min="4" max="4" width="19" customWidth="1"/>
    <col min="5" max="5" width="19" customWidth="1"/>
    <col min="6" max="6" width="19" customWidth="1"/>
    <col min="7" max="7" width="19" customWidth="1"/>
    <col min="8" max="8" width="19" customWidth="1"/>
    <col min="9" max="9" width="19" customWidth="1"/>
    <col min="10" max="10" width="19" customWidth="1"/>
  </cols>
  <sheetData>
    <row r="1" ht="32" customHeight="1">
      <c r="A1" t="inlineStr" s="1">
        <is>
          <t xml:space="preserve">Completed pricing profitability</t>
        </is>
      </c>
    </row>
    <row r="2" ht="20" customHeight="1">
      <c r="A2" t="inlineStr" s="2">
        <is>
          <t xml:space="preserve">ReachPilot unit economics · Main Scenario</t>
        </is>
      </c>
    </row>
    <row r="4" ht="22" customHeight="1">
      <c r="A4" t="inlineStr" s="3">
        <is>
          <t xml:space="preserve">Variable / dimension</t>
        </is>
      </c>
      <c r="B4" t="inlineStr" s="4">
        <is>
          <t xml:space="preserve">Revenue per customer</t>
        </is>
      </c>
      <c r="C4" t="inlineStr" s="4">
        <is>
          <t xml:space="preserve">Monthly plan revenue</t>
        </is>
      </c>
      <c r="D4" t="inlineStr" s="4">
        <is>
          <t xml:space="preserve">Monthly service surplus low</t>
        </is>
      </c>
      <c r="E4" t="inlineStr" s="4">
        <is>
          <t xml:space="preserve">Monthly service surplus high</t>
        </is>
      </c>
      <c r="F4" t="inlineStr" s="4">
        <is>
          <t xml:space="preserve">Service margin low quote</t>
        </is>
      </c>
      <c r="G4" t="inlineStr" s="4">
        <is>
          <t xml:space="preserve">Service margin high quote</t>
        </is>
      </c>
      <c r="H4" t="inlineStr" s="4">
        <is>
          <t xml:space="preserve">Service break-even low quote</t>
        </is>
      </c>
      <c r="I4" t="inlineStr" s="4">
        <is>
          <t xml:space="preserve">Full break-even customers high</t>
        </is>
      </c>
      <c r="J4" t="inlineStr" s="4">
        <is>
          <t xml:space="preserve">Break-even upper overhead high quote</t>
        </is>
      </c>
    </row>
    <row r="5">
      <c r="A5" t="inlineStr" s="5">
        <is>
          <t xml:space="preserve">$0.80 per lead</t>
        </is>
      </c>
      <c r="B5" s="6">
        <f>'Pricing comparison'!B5+'Pricing comparison'!C5*'Monthly operating case'!B6</f>
        <v>80</v>
      </c>
      <c r="C5" s="6">
        <f>'Completed pricing profitability'!B5*'Monthly operating case'!B5</f>
        <v>3200</v>
      </c>
      <c r="D5" s="6">
        <f>'Completed pricing profitability'!C5-'Completed blended cost summary'!B10</f>
        <v>2057.9632</v>
      </c>
      <c r="E5" s="6">
        <f>'Completed pricing profitability'!C5-'Completed blended cost summary'!B11</f>
        <v>1845.7232000000001</v>
      </c>
      <c r="F5" s="15">
        <f>IFERROR('Completed pricing profitability'!D5/'Completed pricing profitability'!C5,"")</f>
        <v>0.6431135</v>
      </c>
      <c r="G5" s="15">
        <f>IFERROR('Completed pricing profitability'!E5/'Completed pricing profitability'!C5,"")</f>
        <v>0.5767885</v>
      </c>
      <c r="H5" s="6">
        <f>IF(IF(IF(ISERROR('Completed pricing profitability'!B5&gt;'Monthly operating case'!B6*'Completed blended cost summary'!B5),'Completed pricing profitability'!B5&gt;'Monthly operating case'!B6*'Completed blended cost summary'!B5,IF('Completed pricing profitability'!B5="","",'Completed pricing profitability'!B5&gt;'Monthly operating case'!B6*'Completed blended cost summary'!B5))="",FALSE,IF(ISERROR('Completed pricing profitability'!B5&gt;'Monthly operating case'!B6*'Completed blended cost summary'!B5),'Completed pricing profitability'!B5&gt;'Monthly operating case'!B6*'Completed blended cost summary'!B5,IF('Completed pricing profitability'!B5="","",'Completed pricing profitability'!B5&gt;'Monthly operating case'!B6*'Completed blended cost summary'!B5))),CEILING('Measured run and cost inputs'!B19/('Completed pricing profitability'!B5-'Monthly operating case'!B6*'Completed blended cost summary'!B5),1),"")</f>
        <v>1</v>
      </c>
      <c r="I5" s="6">
        <f>IF('Measured run and cost inputs'!B18="","",IF(IF(IF(ISERROR('Completed pricing profitability'!B5&gt;'Monthly operating case'!B6*('Measured run and cost inputs'!B15+'Measured run and cost inputs'!B18)),'Completed pricing profitability'!B5&gt;'Monthly operating case'!B6*('Measured run and cost inputs'!B15+'Measured run and cost inputs'!B18),IF('Completed pricing profitability'!B5="","",'Completed pricing profitability'!B5&gt;'Monthly operating case'!B6*('Measured run and cost inputs'!B15+'Measured run and cost inputs'!B18)))="",FALSE,IF(ISERROR('Completed pricing profitability'!B5&gt;'Monthly operating case'!B6*('Measured run and cost inputs'!B15+'Measured run and cost inputs'!B18)),'Completed pricing profitability'!B5&gt;'Monthly operating case'!B6*('Measured run and cost inputs'!B15+'Measured run and cost inputs'!B18),IF('Completed pricing profitability'!B5="","",'Completed pricing profitability'!B5&gt;'Monthly operating case'!B6*('Measured run and cost inputs'!B15+'Measured run and cost inputs'!B18)))),CEILING('Measured run and cost inputs'!B19/('Completed pricing profitability'!B5-'Monthly operating case'!B6*('Measured run and cost inputs'!B15+'Measured run and cost inputs'!B18)),1),""))</f>
        <v>1</v>
      </c>
      <c r="J5" s="6">
        <f>IF(IF(IF(ISERROR('Completed pricing profitability'!B5&gt;'Monthly operating case'!B6*'Completed blended cost summary'!B6),'Completed pricing profitability'!B5&gt;'Monthly operating case'!B6*'Completed blended cost summary'!B6,IF('Completed pricing profitability'!B5="","",'Completed pricing profitability'!B5&gt;'Monthly operating case'!B6*'Completed blended cost summary'!B6))="",FALSE,IF(ISERROR('Completed pricing profitability'!B5&gt;'Monthly operating case'!B6*'Completed blended cost summary'!B6),'Completed pricing profitability'!B5&gt;'Monthly operating case'!B6*'Completed blended cost summary'!B6,IF('Completed pricing profitability'!B5="","",'Completed pricing profitability'!B5&gt;'Monthly operating case'!B6*'Completed blended cost summary'!B6))),CEILING(('Measured run and cost inputs'!B16+'Email uncertainty and cost boun'!B6)/('Completed pricing profitability'!B5-'Monthly operating case'!B6*'Completed blended cost summary'!B6),1),"")</f>
        <v>2</v>
      </c>
    </row>
    <row r="6">
      <c r="A6" t="inlineStr" s="7">
        <is>
          <t xml:space="preserve">$49 subscription</t>
        </is>
      </c>
      <c r="B6" s="8">
        <f>'Pricing comparison'!B6+'Pricing comparison'!C6*'Monthly operating case'!B6</f>
        <v>49</v>
      </c>
      <c r="C6" s="8">
        <f>'Completed pricing profitability'!B6*'Monthly operating case'!B5</f>
        <v>1960</v>
      </c>
      <c r="D6" s="8">
        <f>'Completed pricing profitability'!C6-'Completed blended cost summary'!B10</f>
        <v>817.9631999999999</v>
      </c>
      <c r="E6" s="8">
        <f>'Completed pricing profitability'!C6-'Completed blended cost summary'!B11</f>
        <v>605.7232000000001</v>
      </c>
      <c r="F6" s="9">
        <f>IFERROR('Completed pricing profitability'!D6/'Completed pricing profitability'!C6,"")</f>
        <v>0.4173281632653061</v>
      </c>
      <c r="G6" s="9">
        <f>IFERROR('Completed pricing profitability'!E6/'Completed pricing profitability'!C6,"")</f>
        <v>0.3090424489795919</v>
      </c>
      <c r="H6" s="8">
        <f>IF(IF(IF(ISERROR('Completed pricing profitability'!B6&gt;'Monthly operating case'!B6*'Completed blended cost summary'!B5),'Completed pricing profitability'!B6&gt;'Monthly operating case'!B6*'Completed blended cost summary'!B5,IF('Completed pricing profitability'!B6="","",'Completed pricing profitability'!B6&gt;'Monthly operating case'!B6*'Completed blended cost summary'!B5))="",FALSE,IF(ISERROR('Completed pricing profitability'!B6&gt;'Monthly operating case'!B6*'Completed blended cost summary'!B5),'Completed pricing profitability'!B6&gt;'Monthly operating case'!B6*'Completed blended cost summary'!B5,IF('Completed pricing profitability'!B6="","",'Completed pricing profitability'!B6&gt;'Monthly operating case'!B6*'Completed blended cost summary'!B5))),CEILING('Measured run and cost inputs'!B19/('Completed pricing profitability'!B6-'Monthly operating case'!B6*'Completed blended cost summary'!B5),1),"")</f>
        <v>2</v>
      </c>
      <c r="I6" s="8">
        <f>IF('Measured run and cost inputs'!B18="","",IF(IF(IF(ISERROR('Completed pricing profitability'!B6&gt;'Monthly operating case'!B6*('Measured run and cost inputs'!B15+'Measured run and cost inputs'!B18)),'Completed pricing profitability'!B6&gt;'Monthly operating case'!B6*('Measured run and cost inputs'!B15+'Measured run and cost inputs'!B18),IF('Completed pricing profitability'!B6="","",'Completed pricing profitability'!B6&gt;'Monthly operating case'!B6*('Measured run and cost inputs'!B15+'Measured run and cost inputs'!B18)))="",FALSE,IF(ISERROR('Completed pricing profitability'!B6&gt;'Monthly operating case'!B6*('Measured run and cost inputs'!B15+'Measured run and cost inputs'!B18)),'Completed pricing profitability'!B6&gt;'Monthly operating case'!B6*('Measured run and cost inputs'!B15+'Measured run and cost inputs'!B18),IF('Completed pricing profitability'!B6="","",'Completed pricing profitability'!B6&gt;'Monthly operating case'!B6*('Measured run and cost inputs'!B15+'Measured run and cost inputs'!B18)))),CEILING('Measured run and cost inputs'!B19/('Completed pricing profitability'!B6-'Monthly operating case'!B6*('Measured run and cost inputs'!B15+'Measured run and cost inputs'!B18)),1),""))</f>
        <v>3</v>
      </c>
      <c r="J6" s="8">
        <f>IF(IF(IF(ISERROR('Completed pricing profitability'!B6&gt;'Monthly operating case'!B6*'Completed blended cost summary'!B6),'Completed pricing profitability'!B6&gt;'Monthly operating case'!B6*'Completed blended cost summary'!B6,IF('Completed pricing profitability'!B6="","",'Completed pricing profitability'!B6&gt;'Monthly operating case'!B6*'Completed blended cost summary'!B6))="",FALSE,IF(ISERROR('Completed pricing profitability'!B6&gt;'Monthly operating case'!B6*'Completed blended cost summary'!B6),'Completed pricing profitability'!B6&gt;'Monthly operating case'!B6*'Completed blended cost summary'!B6,IF('Completed pricing profitability'!B6="","",'Completed pricing profitability'!B6&gt;'Monthly operating case'!B6*'Completed blended cost summary'!B6))),CEILING(('Measured run and cost inputs'!B16+'Email uncertainty and cost boun'!B6)/('Completed pricing profitability'!B6-'Monthly operating case'!B6*'Completed blended cost summary'!B6),1),"")</f>
        <v>4</v>
      </c>
    </row>
    <row r="7">
      <c r="A7" t="inlineStr" s="5">
        <is>
          <t xml:space="preserve">$99 subscription</t>
        </is>
      </c>
      <c r="B7" s="6">
        <f>'Pricing comparison'!B7+'Pricing comparison'!C7*'Monthly operating case'!B6</f>
        <v>99</v>
      </c>
      <c r="C7" s="6">
        <f>'Completed pricing profitability'!B7*'Monthly operating case'!B5</f>
        <v>3960</v>
      </c>
      <c r="D7" s="6">
        <f>'Completed pricing profitability'!C7-'Completed blended cost summary'!B10</f>
        <v>2817.9632</v>
      </c>
      <c r="E7" s="6">
        <f>'Completed pricing profitability'!C7-'Completed blended cost summary'!B11</f>
        <v>2605.7232000000004</v>
      </c>
      <c r="F7" s="15">
        <f>IFERROR('Completed pricing profitability'!D7/'Completed pricing profitability'!C7,"")</f>
        <v>0.7116068686868687</v>
      </c>
      <c r="G7" s="15">
        <f>IFERROR('Completed pricing profitability'!E7/'Completed pricing profitability'!C7,"")</f>
        <v>0.6580109090909092</v>
      </c>
      <c r="H7" s="6">
        <f>IF(IF(IF(ISERROR('Completed pricing profitability'!B7&gt;'Monthly operating case'!B6*'Completed blended cost summary'!B5),'Completed pricing profitability'!B7&gt;'Monthly operating case'!B6*'Completed blended cost summary'!B5,IF('Completed pricing profitability'!B7="","",'Completed pricing profitability'!B7&gt;'Monthly operating case'!B6*'Completed blended cost summary'!B5))="",FALSE,IF(ISERROR('Completed pricing profitability'!B7&gt;'Monthly operating case'!B6*'Completed blended cost summary'!B5),'Completed pricing profitability'!B7&gt;'Monthly operating case'!B6*'Completed blended cost summary'!B5,IF('Completed pricing profitability'!B7="","",'Completed pricing profitability'!B7&gt;'Monthly operating case'!B6*'Completed blended cost summary'!B5))),CEILING('Measured run and cost inputs'!B19/('Completed pricing profitability'!B7-'Monthly operating case'!B6*'Completed blended cost summary'!B5),1),"")</f>
        <v>1</v>
      </c>
      <c r="I7" s="6">
        <f>IF('Measured run and cost inputs'!B18="","",IF(IF(IF(ISERROR('Completed pricing profitability'!B7&gt;'Monthly operating case'!B6*('Measured run and cost inputs'!B15+'Measured run and cost inputs'!B18)),'Completed pricing profitability'!B7&gt;'Monthly operating case'!B6*('Measured run and cost inputs'!B15+'Measured run and cost inputs'!B18),IF('Completed pricing profitability'!B7="","",'Completed pricing profitability'!B7&gt;'Monthly operating case'!B6*('Measured run and cost inputs'!B15+'Measured run and cost inputs'!B18)))="",FALSE,IF(ISERROR('Completed pricing profitability'!B7&gt;'Monthly operating case'!B6*('Measured run and cost inputs'!B15+'Measured run and cost inputs'!B18)),'Completed pricing profitability'!B7&gt;'Monthly operating case'!B6*('Measured run and cost inputs'!B15+'Measured run and cost inputs'!B18),IF('Completed pricing profitability'!B7="","",'Completed pricing profitability'!B7&gt;'Monthly operating case'!B6*('Measured run and cost inputs'!B15+'Measured run and cost inputs'!B18)))),CEILING('Measured run and cost inputs'!B19/('Completed pricing profitability'!B7-'Monthly operating case'!B6*('Measured run and cost inputs'!B15+'Measured run and cost inputs'!B18)),1),""))</f>
        <v>1</v>
      </c>
      <c r="J7" s="6">
        <f>IF(IF(IF(ISERROR('Completed pricing profitability'!B7&gt;'Monthly operating case'!B6*'Completed blended cost summary'!B6),'Completed pricing profitability'!B7&gt;'Monthly operating case'!B6*'Completed blended cost summary'!B6,IF('Completed pricing profitability'!B7="","",'Completed pricing profitability'!B7&gt;'Monthly operating case'!B6*'Completed blended cost summary'!B6))="",FALSE,IF(ISERROR('Completed pricing profitability'!B7&gt;'Monthly operating case'!B6*'Completed blended cost summary'!B6),'Completed pricing profitability'!B7&gt;'Monthly operating case'!B6*'Completed blended cost summary'!B6,IF('Completed pricing profitability'!B7="","",'Completed pricing profitability'!B7&gt;'Monthly operating case'!B6*'Completed blended cost summary'!B6))),CEILING(('Measured run and cost inputs'!B16+'Email uncertainty and cost boun'!B6)/('Completed pricing profitability'!B7-'Monthly operating case'!B6*'Completed blended cost summary'!B6),1),"")</f>
        <v>1</v>
      </c>
    </row>
  </sheetData>
  <mergeCells count="1">
    <mergeCell ref="A1:J1"/>
  </mergeCells>
</worksheet>
</file>